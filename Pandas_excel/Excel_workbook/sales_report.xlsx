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Expen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<sst xmlns="http://schemas.openxmlformats.org/spreadsheetml/2006/main" count="86" uniqueCount="56">
  <si>
    <t xml:space="preserve">Date</t>
  </si>
  <si>
    <t xml:space="preserve">Region</t>
  </si>
  <si>
    <t xml:space="preserve">Product</t>
  </si>
  <si>
    <t xml:space="preserve">Units Sold</t>
  </si>
  <si>
    <t xml:space="preserve">Unit Price</t>
  </si>
  <si>
    <t xml:space="preserve">Revenue</t>
  </si>
  <si>
    <t xml:space="preserve">2026-01-05</t>
  </si>
  <si>
    <t xml:space="preserve">North</t>
  </si>
  <si>
    <t xml:space="preserve">Widget A</t>
  </si>
  <si>
    <t xml:space="preserve">2026-01-12</t>
  </si>
  <si>
    <t xml:space="preserve">South</t>
  </si>
  <si>
    <t xml:space="preserve">Widget B</t>
  </si>
  <si>
    <t xml:space="preserve">2026-01-18</t>
  </si>
  <si>
    <t xml:space="preserve">2026-01-22</t>
  </si>
  <si>
    <t xml:space="preserve">East</t>
  </si>
  <si>
    <t xml:space="preserve">Widget C</t>
  </si>
  <si>
    <t xml:space="preserve">2026-02-03</t>
  </si>
  <si>
    <t xml:space="preserve">2026-02-10</t>
  </si>
  <si>
    <t xml:space="preserve">West</t>
  </si>
  <si>
    <t xml:space="preserve">2026-02-14</t>
  </si>
  <si>
    <t xml:space="preserve">2026-02-25</t>
  </si>
  <si>
    <t xml:space="preserve">2026-03-02</t>
  </si>
  <si>
    <t xml:space="preserve">2026-03-09</t>
  </si>
  <si>
    <t xml:space="preserve">Category</t>
  </si>
  <si>
    <t xml:space="preserve">Description</t>
  </si>
  <si>
    <t xml:space="preserve">Amount</t>
  </si>
  <si>
    <t xml:space="preserve">2026-01-08</t>
  </si>
  <si>
    <t xml:space="preserve">Shipping</t>
  </si>
  <si>
    <t xml:space="preserve">Courier - North region</t>
  </si>
  <si>
    <t xml:space="preserve">2026-01-15</t>
  </si>
  <si>
    <t xml:space="preserve">Supplies</t>
  </si>
  <si>
    <t xml:space="preserve">Packaging boxes</t>
  </si>
  <si>
    <t xml:space="preserve">2026-01-29</t>
  </si>
  <si>
    <t xml:space="preserve">Marketing</t>
  </si>
  <si>
    <t xml:space="preserve">Local flyers</t>
  </si>
  <si>
    <t xml:space="preserve">2026-02-05</t>
  </si>
  <si>
    <t xml:space="preserve">Courier - South region</t>
  </si>
  <si>
    <t xml:space="preserve">2026-02-11</t>
  </si>
  <si>
    <t xml:space="preserve">Packaging tape</t>
  </si>
  <si>
    <t xml:space="preserve">2026-02-20</t>
  </si>
  <si>
    <t xml:space="preserve">Social media ads</t>
  </si>
  <si>
    <t xml:space="preserve">2026-03-04</t>
  </si>
  <si>
    <t xml:space="preserve">Courier - West region</t>
  </si>
  <si>
    <t xml:space="preserve">2026-03-10</t>
  </si>
  <si>
    <t xml:space="preserve">Labels</t>
  </si>
  <si>
    <t xml:space="preserve">Sales Report Summary</t>
  </si>
  <si>
    <t xml:space="preserve">Q1 2026 (Jan - Mar)</t>
  </si>
  <si>
    <t xml:space="preserve">Metric</t>
  </si>
  <si>
    <t xml:space="preserve">Value</t>
  </si>
  <si>
    <t xml:space="preserve">Total Revenue</t>
  </si>
  <si>
    <t xml:space="preserve">Total Expenses</t>
  </si>
  <si>
    <t xml:space="preserve">Net Profit</t>
  </si>
  <si>
    <t xml:space="preserve">Total Units Sold</t>
  </si>
  <si>
    <t xml:space="preserve">Average Revenue per Sale</t>
  </si>
  <si>
    <t xml:space="preserve">Revenue by Region</t>
  </si>
  <si>
    <t xml:space="preserve">Expenses by Category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</si>
</sst>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40</v>
      </c>
      <c r="E2" s="2" t="n">
        <v>12.5</v>
      </c>
      <c r="F2" s="2" t="n">
        <f aca="false">D2*E2</f>
        <v>500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25</v>
      </c>
      <c r="E3" s="2" t="n">
        <v>18</v>
      </c>
      <c r="F3" s="2" t="n">
        <f aca="false">D3*E3</f>
        <v>450</v>
      </c>
    </row>
    <row r="4" customFormat="false" ht="15" hidden="false" customHeight="false" outlineLevel="0" collapsed="false">
      <c r="A4" s="0" t="s">
        <v>12</v>
      </c>
      <c r="B4" s="0" t="s">
        <v>7</v>
      </c>
      <c r="C4" s="0" t="s">
        <v>8</v>
      </c>
      <c r="D4" s="0" t="n">
        <v>30</v>
      </c>
      <c r="E4" s="2" t="n">
        <v>12.5</v>
      </c>
      <c r="F4" s="2" t="n">
        <f aca="false">D4*E4</f>
        <v>375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15</v>
      </c>
      <c r="E5" s="2" t="n">
        <v>22</v>
      </c>
      <c r="F5" s="2" t="n">
        <f aca="false">D5*E5</f>
        <v>330</v>
      </c>
    </row>
    <row r="6" customFormat="false" ht="15" hidden="false" customHeight="false" outlineLevel="0" collapsed="false">
      <c r="A6" s="0" t="s">
        <v>16</v>
      </c>
      <c r="B6" s="0" t="s">
        <v>10</v>
      </c>
      <c r="C6" s="0" t="s">
        <v>8</v>
      </c>
      <c r="D6" s="0" t="n">
        <v>50</v>
      </c>
      <c r="E6" s="2" t="n">
        <v>12.5</v>
      </c>
      <c r="F6" s="2" t="n">
        <f aca="false">D6*E6</f>
        <v>625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11</v>
      </c>
      <c r="D7" s="0" t="n">
        <v>35</v>
      </c>
      <c r="E7" s="2" t="n">
        <v>18</v>
      </c>
      <c r="F7" s="2" t="n">
        <f aca="false">D7*E7</f>
        <v>630</v>
      </c>
    </row>
    <row r="8" customFormat="false" ht="15" hidden="false" customHeight="false" outlineLevel="0" collapsed="false">
      <c r="A8" s="0" t="s">
        <v>19</v>
      </c>
      <c r="B8" s="0" t="s">
        <v>14</v>
      </c>
      <c r="C8" s="0" t="s">
        <v>15</v>
      </c>
      <c r="D8" s="0" t="n">
        <v>20</v>
      </c>
      <c r="E8" s="2" t="n">
        <v>22</v>
      </c>
      <c r="F8" s="2" t="n">
        <f aca="false">D8*E8</f>
        <v>440</v>
      </c>
    </row>
    <row r="9" customFormat="false" ht="15" hidden="false" customHeight="false" outlineLevel="0" collapsed="false">
      <c r="A9" s="0" t="s">
        <v>20</v>
      </c>
      <c r="B9" s="0" t="s">
        <v>7</v>
      </c>
      <c r="C9" s="0" t="s">
        <v>11</v>
      </c>
      <c r="D9" s="0" t="n">
        <v>28</v>
      </c>
      <c r="E9" s="2" t="n">
        <v>18</v>
      </c>
      <c r="F9" s="2" t="n">
        <f aca="false">D9*E9</f>
        <v>504</v>
      </c>
    </row>
    <row r="10" customFormat="false" ht="15" hidden="false" customHeight="false" outlineLevel="0" collapsed="false">
      <c r="A10" s="0" t="s">
        <v>21</v>
      </c>
      <c r="B10" s="0" t="s">
        <v>18</v>
      </c>
      <c r="C10" s="0" t="s">
        <v>8</v>
      </c>
      <c r="D10" s="0" t="n">
        <v>45</v>
      </c>
      <c r="E10" s="2" t="n">
        <v>12.5</v>
      </c>
      <c r="F10" s="2" t="n">
        <f aca="false">D10*E10</f>
        <v>562.5</v>
      </c>
    </row>
    <row r="11" customFormat="false" ht="15" hidden="false" customHeight="false" outlineLevel="0" collapsed="false">
      <c r="A11" s="0" t="s">
        <v>22</v>
      </c>
      <c r="B11" s="0" t="s">
        <v>10</v>
      </c>
      <c r="C11" s="0" t="s">
        <v>15</v>
      </c>
      <c r="D11" s="0" t="n">
        <v>18</v>
      </c>
      <c r="E11" s="2" t="n">
        <v>22</v>
      </c>
      <c r="F11" s="2" t="n">
        <f aca="false">D11*E11</f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2" t="n">
        <v>120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31</v>
      </c>
      <c r="D3" s="2" t="n">
        <v>45.5</v>
      </c>
    </row>
    <row r="4" customFormat="false" ht="15" hidden="false" customHeight="false" outlineLevel="0" collapsed="false">
      <c r="A4" s="0" t="s">
        <v>32</v>
      </c>
      <c r="B4" s="0" t="s">
        <v>33</v>
      </c>
      <c r="C4" s="0" t="s">
        <v>34</v>
      </c>
      <c r="D4" s="2" t="n">
        <v>80</v>
      </c>
    </row>
    <row r="5" customFormat="false" ht="15" hidden="false" customHeight="false" outlineLevel="0" collapsed="false">
      <c r="A5" s="0" t="s">
        <v>35</v>
      </c>
      <c r="B5" s="0" t="s">
        <v>27</v>
      </c>
      <c r="C5" s="0" t="s">
        <v>36</v>
      </c>
      <c r="D5" s="2" t="n">
        <v>150</v>
      </c>
    </row>
    <row r="6" customFormat="false" ht="15" hidden="false" customHeight="false" outlineLevel="0" collapsed="false">
      <c r="A6" s="0" t="s">
        <v>37</v>
      </c>
      <c r="B6" s="0" t="s">
        <v>30</v>
      </c>
      <c r="C6" s="0" t="s">
        <v>38</v>
      </c>
      <c r="D6" s="2" t="n">
        <v>20</v>
      </c>
    </row>
    <row r="7" customFormat="false" ht="15" hidden="false" customHeight="false" outlineLevel="0" collapsed="false">
      <c r="A7" s="0" t="s">
        <v>39</v>
      </c>
      <c r="B7" s="0" t="s">
        <v>33</v>
      </c>
      <c r="C7" s="0" t="s">
        <v>40</v>
      </c>
      <c r="D7" s="2" t="n">
        <v>100</v>
      </c>
    </row>
    <row r="8" customFormat="false" ht="15" hidden="false" customHeight="false" outlineLevel="0" collapsed="false">
      <c r="A8" s="0" t="s">
        <v>41</v>
      </c>
      <c r="B8" s="0" t="s">
        <v>27</v>
      </c>
      <c r="C8" s="0" t="s">
        <v>42</v>
      </c>
      <c r="D8" s="2" t="n">
        <v>95</v>
      </c>
    </row>
    <row r="9" customFormat="false" ht="15" hidden="false" customHeight="false" outlineLevel="0" collapsed="false">
      <c r="A9" s="0" t="s">
        <v>43</v>
      </c>
      <c r="B9" s="0" t="s">
        <v>30</v>
      </c>
      <c r="C9" s="0" t="s">
        <v>44</v>
      </c>
      <c r="D9" s="2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3" t="s">
        <v>45</v>
      </c>
    </row>
    <row r="2" customFormat="false" ht="15" hidden="false" customHeight="false" outlineLevel="0" collapsed="false">
      <c r="A2" s="4" t="s">
        <v>46</v>
      </c>
    </row>
    <row r="4" customFormat="false" ht="15" hidden="false" customHeight="false" outlineLevel="0" collapsed="false">
      <c r="A4" s="1" t="s">
        <v>47</v>
      </c>
      <c r="B4" s="1" t="s">
        <v>48</v>
      </c>
    </row>
    <row r="5" customFormat="false" ht="15" hidden="false" customHeight="false" outlineLevel="0" collapsed="false">
      <c r="A5" s="5" t="s">
        <v>49</v>
      </c>
      <c r="B5" s="2" t="n">
        <f aca="false">SUM(Sales!F2:F11)</f>
        <v>4812.5</v>
      </c>
    </row>
    <row r="6" customFormat="false" ht="15" hidden="false" customHeight="false" outlineLevel="0" collapsed="false">
      <c r="A6" s="5" t="s">
        <v>50</v>
      </c>
      <c r="B6" s="2" t="n">
        <f aca="false">SUM(Expenses!D2:D9)</f>
        <v>640.5</v>
      </c>
    </row>
    <row r="7" customFormat="false" ht="15" hidden="false" customHeight="false" outlineLevel="0" collapsed="false">
      <c r="A7" s="5" t="s">
        <v>51</v>
      </c>
      <c r="B7" s="6" t="n">
        <f aca="false">B5-B6</f>
        <v>4172</v>
      </c>
    </row>
    <row r="8" customFormat="false" ht="15" hidden="false" customHeight="false" outlineLevel="0" collapsed="false">
      <c r="A8" s="5" t="s">
        <v>52</v>
      </c>
      <c r="B8" s="7" t="n">
        <f aca="false">SUM(Sales!D2:D11)</f>
        <v>306</v>
      </c>
    </row>
    <row r="9" customFormat="false" ht="15" hidden="false" customHeight="false" outlineLevel="0" collapsed="false">
      <c r="A9" s="5" t="s">
        <v>53</v>
      </c>
      <c r="B9" s="2" t="n">
        <f aca="false">AVERAGE(Sales!F2:F11)</f>
        <v>481.25</v>
      </c>
    </row>
    <row r="11" customFormat="false" ht="15" hidden="false" customHeight="false" outlineLevel="0" collapsed="false">
      <c r="A11" s="8" t="s">
        <v>54</v>
      </c>
      <c r="D11" s="8" t="s">
        <v>55</v>
      </c>
    </row>
    <row r="12" customFormat="false" ht="15" hidden="false" customHeight="false" outlineLevel="0" collapsed="false">
      <c r="A12" s="1" t="s">
        <v>1</v>
      </c>
      <c r="B12" s="1" t="s">
        <v>5</v>
      </c>
      <c r="C12" s="1"/>
      <c r="D12" s="1" t="s">
        <v>23</v>
      </c>
      <c r="E12" s="1" t="s">
        <v>25</v>
      </c>
    </row>
    <row r="13" customFormat="false" ht="15" hidden="false" customHeight="false" outlineLevel="0" collapsed="false">
      <c r="A13" s="0" t="s">
        <v>7</v>
      </c>
      <c r="B13" s="2" t="n">
        <f aca="false">SUMIFS(Sales!F2:F11,Sales!B2:B11,A13)</f>
        <v>1379</v>
      </c>
      <c r="D13" s="7" t="s">
        <v>27</v>
      </c>
      <c r="E13" s="2" t="n">
        <f aca="false">SUMIFS(Expenses!D2:D9,Expenses!B2:B9,D13)</f>
        <v>365</v>
      </c>
    </row>
    <row r="14" customFormat="false" ht="15" hidden="false" customHeight="false" outlineLevel="0" collapsed="false">
      <c r="A14" s="0" t="s">
        <v>10</v>
      </c>
      <c r="B14" s="2" t="n">
        <f aca="false">SUMIFS(Sales!F2:F11,Sales!B2:B11,A14)</f>
        <v>1471</v>
      </c>
      <c r="D14" s="7" t="s">
        <v>30</v>
      </c>
      <c r="E14" s="2" t="n">
        <f aca="false">SUMIFS(Expenses!D2:D9,Expenses!B2:B9,D14)</f>
        <v>95.5</v>
      </c>
    </row>
    <row r="15" customFormat="false" ht="15" hidden="false" customHeight="false" outlineLevel="0" collapsed="false">
      <c r="A15" s="0" t="s">
        <v>14</v>
      </c>
      <c r="B15" s="2" t="n">
        <f aca="false">SUMIFS(Sales!F2:F11,Sales!B2:B11,A15)</f>
        <v>770</v>
      </c>
      <c r="D15" s="7" t="s">
        <v>33</v>
      </c>
      <c r="E15" s="2" t="n">
        <f aca="false">SUMIFS(Expenses!D2:D9,Expenses!B2:B9,D15)</f>
        <v>180</v>
      </c>
    </row>
    <row r="16" customFormat="false" ht="15" hidden="false" customHeight="false" outlineLevel="0" collapsed="false">
      <c r="A16" s="0" t="s">
        <v>18</v>
      </c>
      <c r="B16" s="2" t="n">
        <f aca="false">SUMIFS(Sales!F2:F11,Sales!B2:B11,A16)</f>
        <v>1192.5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2026-09-27T14:14:40Z</dcterms:created>
  <dc:creator>openpyxl</dc:creator>
  <dc:description/>
  <dc:language>en-US</dc:language>
  <cp:lastModifiedBy/>
  <dcterms:modified xsi:type="dcterms:W3CDTF">2026-09-27T14:14:40Z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